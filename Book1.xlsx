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ffattendance\"/>
    </mc:Choice>
  </mc:AlternateContent>
  <bookViews>
    <workbookView xWindow="0" yWindow="0" windowWidth="23040" windowHeight="105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2" i="1" l="1"/>
  <c r="AK2" i="1"/>
  <c r="AW2" i="1" s="1"/>
  <c r="AI2" i="1"/>
  <c r="AL2" i="1" s="1"/>
  <c r="AI1" i="1"/>
  <c r="BA2" i="1" l="1"/>
</calcChain>
</file>

<file path=xl/sharedStrings.xml><?xml version="1.0" encoding="utf-8"?>
<sst xmlns="http://schemas.openxmlformats.org/spreadsheetml/2006/main" count="46" uniqueCount="20">
  <si>
    <t>Malhar</t>
  </si>
  <si>
    <t>P</t>
  </si>
  <si>
    <t>W</t>
  </si>
  <si>
    <t>A</t>
  </si>
  <si>
    <t>Leave</t>
  </si>
  <si>
    <t>LvCR</t>
  </si>
  <si>
    <t>Salary</t>
  </si>
  <si>
    <t>Advance</t>
  </si>
  <si>
    <t>Loan</t>
  </si>
  <si>
    <t>LoanBalance</t>
  </si>
  <si>
    <t>Conv/Incentive</t>
  </si>
  <si>
    <t>Late Hrs</t>
  </si>
  <si>
    <t>AbsAmt</t>
  </si>
  <si>
    <t>Mobile</t>
  </si>
  <si>
    <t>Gross Sal</t>
  </si>
  <si>
    <t>Net Salary</t>
  </si>
  <si>
    <t>LH</t>
  </si>
  <si>
    <t>L</t>
  </si>
  <si>
    <t>lv Balance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</si>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</sst>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10"/>
      <name val="Arial"/>
      <family val="2"/>
    </font>
    <font>
      <b/>
      <sz val="10"/>
      <color indexed="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164" fontId="2" fillId="3" borderId="0" xfId="0" applyNumberFormat="1" applyFont="1" applyFill="1"/>
    <xf numFmtId="0" fontId="0" fillId="0" borderId="0" xfId="0" applyFont="1" applyAlignment="1">
      <alignment horizontal="center"/>
    </xf>
    <xf numFmtId="165" fontId="0" fillId="0" borderId="0" xfId="0" applyNumberFormat="1"/>
    <xf numFmtId="0" fontId="0" fillId="0" borderId="0" xfId="0" applyNumberFormat="1"/>
    <xf numFmtId="0" fontId="1" fillId="2" borderId="0" xfId="1"/>
    <xf numFmtId="1" fontId="0" fillId="0" borderId="0" xfId="0" applyNumberFormat="1"/>
    <xf numFmtId="2" fontId="0" fillId="0" borderId="0" xfId="0" applyNumberFormat="1"/>
    <xf numFmtId="0" fontId="0" fillId="0" borderId="0" xfId="0" applyFont="1"/>
    <xf numFmtId="1" fontId="3" fillId="4" borderId="1" xfId="0" applyNumberFormat="1" applyFont="1" applyFill="1" applyBorder="1"/>
    <xf numFmtId="0" fontId="2" fillId="3" borderId="0" xfId="0" applyFont="1" applyFill="1"/>
    <xf numFmtId="0" fontId="2" fillId="3" borderId="1" xfId="0" applyFont="1" applyFill="1" applyBorder="1"/>
    <xf numFmtId="1" fontId="0" fillId="4" borderId="1" xfId="0" applyNumberFormat="1" applyFont="1" applyFill="1" applyBorder="1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tabSelected="1" topLeftCell="K1" workbookViewId="0">
      <selection activeCell="BA2" sqref="BA2"/>
    </sheetView>
  </sheetViews>
  <sheetFormatPr defaultRowHeight="14.4" x14ac:dyDescent="0.3"/>
  <cols>
    <col min="1" max="1" width="6.77734375" bestFit="1" customWidth="1"/>
    <col min="2" max="3" width="5.6640625" bestFit="1" customWidth="1"/>
    <col min="4" max="4" width="2" bestFit="1" customWidth="1"/>
    <col min="5" max="5" width="2.77734375" bestFit="1" customWidth="1"/>
    <col min="6" max="11" width="2" bestFit="1" customWidth="1"/>
    <col min="12" max="12" width="2.77734375" bestFit="1" customWidth="1"/>
    <col min="13" max="34" width="3" bestFit="1" customWidth="1"/>
    <col min="35" max="35" width="4.5546875" bestFit="1" customWidth="1"/>
    <col min="37" max="37" width="2.21875" bestFit="1" customWidth="1"/>
    <col min="38" max="38" width="5.77734375" bestFit="1" customWidth="1"/>
    <col min="39" max="39" width="5.33203125" bestFit="1" customWidth="1"/>
    <col min="40" max="40" width="9.21875" bestFit="1" customWidth="1"/>
    <col min="41" max="41" width="6" bestFit="1" customWidth="1"/>
    <col min="42" max="42" width="8" bestFit="1" customWidth="1"/>
    <col min="43" max="43" width="2" bestFit="1" customWidth="1"/>
    <col min="44" max="44" width="5" bestFit="1" customWidth="1"/>
    <col min="45" max="45" width="11.5546875" bestFit="1" customWidth="1"/>
    <col min="46" max="46" width="12.88671875" bestFit="1" customWidth="1"/>
    <col min="47" max="47" width="7.77734375" bestFit="1" customWidth="1"/>
    <col min="48" max="48" width="4.5546875" bestFit="1" customWidth="1"/>
    <col min="49" max="49" width="7.21875" bestFit="1" customWidth="1"/>
    <col min="50" max="50" width="6.21875" bestFit="1" customWidth="1"/>
    <col min="52" max="52" width="4" bestFit="1" customWidth="1"/>
    <col min="53" max="53" width="9.33203125" bestFit="1" customWidth="1"/>
    <col min="54" max="54" width="5.88671875" bestFit="1" customWidth="1"/>
  </cols>
  <sheetData>
    <row r="1" spans="1:53" x14ac:dyDescent="0.3">
      <c r="C1" s="1">
        <v>46235</v>
      </c>
      <c r="D1" s="10">
        <v>1</v>
      </c>
      <c r="E1" s="10">
        <v>2</v>
      </c>
      <c r="F1" s="10">
        <v>3</v>
      </c>
      <c r="G1" s="10">
        <v>4</v>
      </c>
      <c r="H1" s="10">
        <v>5</v>
      </c>
      <c r="I1" s="10">
        <v>6</v>
      </c>
      <c r="J1" s="10">
        <v>7</v>
      </c>
      <c r="K1" s="10">
        <v>8</v>
      </c>
      <c r="L1" s="10">
        <v>9</v>
      </c>
      <c r="M1" s="10">
        <v>10</v>
      </c>
      <c r="N1" s="10">
        <v>11</v>
      </c>
      <c r="O1" s="10">
        <v>12</v>
      </c>
      <c r="P1" s="10">
        <v>13</v>
      </c>
      <c r="Q1" s="10">
        <v>14</v>
      </c>
      <c r="R1" s="10">
        <v>15</v>
      </c>
      <c r="S1" s="10">
        <v>16</v>
      </c>
      <c r="T1" s="10">
        <v>17</v>
      </c>
      <c r="U1" s="10">
        <v>18</v>
      </c>
      <c r="V1" s="10">
        <v>19</v>
      </c>
      <c r="W1" s="10">
        <v>20</v>
      </c>
      <c r="X1" s="10">
        <v>21</v>
      </c>
      <c r="Y1" s="10">
        <v>22</v>
      </c>
      <c r="Z1" s="10">
        <v>23</v>
      </c>
      <c r="AA1" s="10">
        <v>24</v>
      </c>
      <c r="AB1" s="10">
        <v>25</v>
      </c>
      <c r="AC1" s="10">
        <v>26</v>
      </c>
      <c r="AD1" s="10">
        <v>27</v>
      </c>
      <c r="AE1" s="10">
        <v>28</v>
      </c>
      <c r="AF1" s="10">
        <v>29</v>
      </c>
      <c r="AG1" s="10">
        <v>30</v>
      </c>
      <c r="AH1" s="10">
        <v>31</v>
      </c>
      <c r="AI1" s="3">
        <f>COUNTIF(D1:AH1,"P")+(COUNTIF(D1:AH1,"H")*0.5)++(COUNTIF(D1:AH1,"LH")*0.5)</f>
        <v>0</v>
      </c>
      <c r="AJ1" s="10"/>
      <c r="AK1" s="10" t="s">
        <v>3</v>
      </c>
      <c r="AL1" s="10" t="s">
        <v>4</v>
      </c>
      <c r="AM1" s="10" t="s">
        <v>5</v>
      </c>
      <c r="AN1" s="10" t="s">
        <v>18</v>
      </c>
      <c r="AO1" s="5" t="s">
        <v>6</v>
      </c>
      <c r="AP1" s="10" t="s">
        <v>7</v>
      </c>
      <c r="AQ1" s="10"/>
      <c r="AR1" s="10" t="s">
        <v>8</v>
      </c>
      <c r="AS1" s="10" t="s">
        <v>9</v>
      </c>
      <c r="AT1" s="10" t="s">
        <v>10</v>
      </c>
      <c r="AU1" s="10" t="s">
        <v>11</v>
      </c>
      <c r="AV1" s="10">
        <v>30</v>
      </c>
      <c r="AW1" s="10" t="s">
        <v>12</v>
      </c>
      <c r="AX1" s="11" t="s">
        <v>13</v>
      </c>
      <c r="AY1" s="11" t="s">
        <v>14</v>
      </c>
      <c r="BA1" s="12" t="s">
        <v>15</v>
      </c>
    </row>
    <row r="2" spans="1:53" x14ac:dyDescent="0.3">
      <c r="A2" t="s">
        <v>0</v>
      </c>
      <c r="B2" s="1">
        <v>46235</v>
      </c>
      <c r="D2" s="2" t="s">
        <v>1</v>
      </c>
      <c r="E2" s="2" t="s">
        <v>2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2</v>
      </c>
      <c r="M2" s="2" t="s">
        <v>1</v>
      </c>
      <c r="N2" s="2" t="s">
        <v>19</v>
      </c>
      <c r="O2" s="2" t="s">
        <v>1</v>
      </c>
      <c r="P2" s="2" t="s">
        <v>17</v>
      </c>
      <c r="Q2" s="2" t="s">
        <v>17</v>
      </c>
      <c r="R2" s="2" t="s">
        <v>16</v>
      </c>
      <c r="S2" s="2" t="s">
        <v>2</v>
      </c>
      <c r="T2" s="2" t="s">
        <v>1</v>
      </c>
      <c r="U2" s="2" t="s">
        <v>1</v>
      </c>
      <c r="V2" s="2" t="s">
        <v>3</v>
      </c>
      <c r="W2" s="2" t="s">
        <v>3</v>
      </c>
      <c r="X2" s="2" t="s">
        <v>1</v>
      </c>
      <c r="Y2" s="2" t="s">
        <v>1</v>
      </c>
      <c r="Z2" s="2" t="s">
        <v>2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2</v>
      </c>
      <c r="AH2" s="2" t="s">
        <v>1</v>
      </c>
      <c r="AI2" s="3">
        <f t="shared" ref="AI2" si="0">COUNTIF(D2:AH2,"P")+(COUNTIF(D2:AH2,"H")*0.5)++(COUNTIF(D2:AH2,"LH")*0.5)</f>
        <v>21</v>
      </c>
      <c r="AJ2" s="3"/>
      <c r="AK2" s="4">
        <f t="shared" ref="AK2" si="1">COUNTIF(D2:AH2,"A")++(COUNTIF(D2:AH2,"H")*0.5)</f>
        <v>2.5</v>
      </c>
      <c r="AL2" s="4">
        <f t="shared" ref="AL2" si="2">COUNTIF(D2:AI2,"L")+(COUNTIF(D2:AI2,"LH")*0.5)-COUNTIF(D2:AI2,"LP")</f>
        <v>2.5</v>
      </c>
      <c r="AN2" s="4"/>
      <c r="AO2" s="5">
        <v>30000</v>
      </c>
      <c r="AP2">
        <v>500</v>
      </c>
      <c r="AQ2" s="6">
        <v>0</v>
      </c>
      <c r="AR2">
        <v>500</v>
      </c>
      <c r="AS2" s="4">
        <v>0</v>
      </c>
      <c r="AT2" s="4">
        <v>250</v>
      </c>
      <c r="AU2" s="4">
        <v>0</v>
      </c>
      <c r="AV2" s="7">
        <v>0</v>
      </c>
      <c r="AW2" s="6">
        <f t="shared" ref="AW2" si="3">AO2/$AV$1*AK2</f>
        <v>2500</v>
      </c>
      <c r="AX2" s="8">
        <v>0</v>
      </c>
      <c r="AY2" s="13">
        <f t="shared" ref="AY2" si="4">AO2-AP2-AR2</f>
        <v>29000</v>
      </c>
      <c r="AZ2">
        <v>200</v>
      </c>
      <c r="BA2" s="9">
        <f t="shared" ref="BA2" si="5">AY2+AT2-AX2-AW2-AV2-AZ2</f>
        <v>26550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2026-09-09T08:57:16Z</dcterms:created>
  <dcterms:modified xsi:type="dcterms:W3CDTF">2026-09-09T09:09:26Z</dcterms:modified>
</cp:coreProperties>
</file>